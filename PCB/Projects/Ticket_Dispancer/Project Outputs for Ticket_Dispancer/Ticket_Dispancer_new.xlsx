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r.Vijay_Kushwah\PCB\Ticket_Dispancer\Ticket_Dispancer\Project Outputs for Ticket_Dispancer\"/>
    </mc:Choice>
  </mc:AlternateContent>
  <xr:revisionPtr revIDLastSave="0" documentId="13_ncr:1_{276F6279-A6E4-4F16-A201-96B8BB2F12A3}" xr6:coauthVersionLast="47" xr6:coauthVersionMax="47" xr10:uidLastSave="{00000000-0000-0000-0000-000000000000}"/>
  <bookViews>
    <workbookView xWindow="-108" yWindow="-108" windowWidth="23256" windowHeight="12456" xr2:uid="{666BBD4C-3352-4A01-9EC2-2CD78A3677C8}"/>
  </bookViews>
  <sheets>
    <sheet name="Ticket_Dispancer" sheetId="1" r:id="rId1"/>
  </sheets>
  <definedNames>
    <definedName name="_xlnm.Print_Titles" localSheetId="0">Ticket_Dispancer!$1:$1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5" i="1" l="1"/>
  <c r="H86" i="1" s="1"/>
  <c r="H87" i="1" s="1"/>
  <c r="H88" i="1" s="1"/>
  <c r="H81" i="1"/>
  <c r="H80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3" i="1"/>
</calcChain>
</file>

<file path=xl/sharedStrings.xml><?xml version="1.0" encoding="utf-8"?>
<sst xmlns="http://schemas.openxmlformats.org/spreadsheetml/2006/main" count="522" uniqueCount="365">
  <si>
    <t>Comment</t>
  </si>
  <si>
    <t>Description</t>
  </si>
  <si>
    <t>Designator</t>
  </si>
  <si>
    <t>Footprint</t>
  </si>
  <si>
    <t>LibRef</t>
  </si>
  <si>
    <t>Quantity</t>
  </si>
  <si>
    <t>15pF</t>
  </si>
  <si>
    <t>CAP CER 15PF 50V C0G/NP0 0805</t>
  </si>
  <si>
    <t>C1, C2, C3, C4, C48, C49</t>
  </si>
  <si>
    <t>CAP 0805_2012</t>
  </si>
  <si>
    <t>08055A150JAT2A</t>
  </si>
  <si>
    <t>1µF</t>
  </si>
  <si>
    <t>CAP CER 1UF 10V X7R 0805</t>
  </si>
  <si>
    <t>C7, C8, C9, C10, C11, C12, C16, C17, C18, C19, C20, C21, C22, C23, C25, C27, C28, C29, C30, C31, C32, C33, C34, C35, C36, C37, C38, C40, C41, C42, C43, C44, C45, C46, C57, C60, C61, C64, C66, C69, C72</t>
  </si>
  <si>
    <t>0805ZC105KAT4A</t>
  </si>
  <si>
    <t>4.7 µF</t>
  </si>
  <si>
    <t>4.70UF 25.0V</t>
  </si>
  <si>
    <t>C13, C14, C54, C73</t>
  </si>
  <si>
    <t>C0805X475M3RAC7800</t>
  </si>
  <si>
    <t>10 µF</t>
  </si>
  <si>
    <t>CAP CER 10UF 16V X5R 1206</t>
  </si>
  <si>
    <t>C15, C39, C47, C58, C59</t>
  </si>
  <si>
    <t>CAP 1206_3216 - 0.8MM</t>
  </si>
  <si>
    <t>EMK316BJ106MD-T</t>
  </si>
  <si>
    <t>1000 pF</t>
  </si>
  <si>
    <t>CAP CER 0805 1NF 25V ULTRA STABL</t>
  </si>
  <si>
    <t>C24, C26</t>
  </si>
  <si>
    <t>C0805C102F3HACAUTO</t>
  </si>
  <si>
    <t>0.022 µF</t>
  </si>
  <si>
    <t>CAP CER 0805 22NF 50V X7R 10%</t>
  </si>
  <si>
    <t>C50</t>
  </si>
  <si>
    <t>C0805C223K5RECAUTO</t>
  </si>
  <si>
    <t>6800 pF</t>
  </si>
  <si>
    <t>CAP CER 0805 6.8NF 25V C0G 20%</t>
  </si>
  <si>
    <t>C51, C52</t>
  </si>
  <si>
    <t>C0805C682M3GEC7800</t>
  </si>
  <si>
    <t>10000 pF</t>
  </si>
  <si>
    <t>CAP CER 0805 10NF 100V X7R</t>
  </si>
  <si>
    <t>C53, C55</t>
  </si>
  <si>
    <t>C0805X103K1RAC3316</t>
  </si>
  <si>
    <t>1206Y2K00102KXT</t>
  </si>
  <si>
    <t>1000 pF Â±10% 2000V (2kV) Ceramic Capacitor X7R 1206 (3216 Metric)</t>
  </si>
  <si>
    <t>C56</t>
  </si>
  <si>
    <t>CAPC3216X160N</t>
  </si>
  <si>
    <t>220 µF</t>
  </si>
  <si>
    <t>CAP ALUM 220UF 20% 35V SMD</t>
  </si>
  <si>
    <t>C62, C67</t>
  </si>
  <si>
    <t>CAP ALSMD ELEC 8.3MM H11MM</t>
  </si>
  <si>
    <t>UCH1V221MCS1GS</t>
  </si>
  <si>
    <t>470 µF</t>
  </si>
  <si>
    <t>CAP ALUM 470UF 20% 10V SMD</t>
  </si>
  <si>
    <t>C63, C68</t>
  </si>
  <si>
    <t>CAP ALSMD 8.3MM H10.5MM</t>
  </si>
  <si>
    <t>EMZL100ARA471MHA0G</t>
  </si>
  <si>
    <t>ECWFE2W105JA</t>
  </si>
  <si>
    <t>C65</t>
  </si>
  <si>
    <t>CAPRR1500W80L1750T700H1250</t>
  </si>
  <si>
    <t>CAP CER 10UF 25V X7R 1206</t>
  </si>
  <si>
    <t>C70, C71</t>
  </si>
  <si>
    <t>MURATA CAP GRM31C 1206_3216</t>
  </si>
  <si>
    <t>GRM31CR71E106KA12K</t>
  </si>
  <si>
    <t>CGRA4007-G</t>
  </si>
  <si>
    <t>DIODE GEN PURP 1KV 1A DO214AC</t>
  </si>
  <si>
    <t>D1, D2, D47, D49, D51, D53, D55</t>
  </si>
  <si>
    <t>DO214AC SMA</t>
  </si>
  <si>
    <t>SM712.TCT</t>
  </si>
  <si>
    <t>SM Series 12 V 400 W Asymmetrical TVS Diode for Extended Common-Mode - SOT-23</t>
  </si>
  <si>
    <t>D3, D4, D7, D9, D10, D11, D12</t>
  </si>
  <si>
    <t>597-3305-607F</t>
  </si>
  <si>
    <t>LED Uni-Color Green 4-Pin Chip 0805 T/R</t>
  </si>
  <si>
    <t>D5, D8, D18, D19, D24, D25, D29, D30, D34, D35, D39, D41, D43, D45, D46, D48, D50, D52, D54, D59, D62, D63, D67</t>
  </si>
  <si>
    <t>LEDC2012X70N</t>
  </si>
  <si>
    <t>LL4148-GS08</t>
  </si>
  <si>
    <t>Diode Standard 75 V 300mA (DC) Surface Mount SOD-80 MiniMELF</t>
  </si>
  <si>
    <t>D6</t>
  </si>
  <si>
    <t>MELF_SOD-80</t>
  </si>
  <si>
    <t>LTV-817S-TA1</t>
  </si>
  <si>
    <t>OPTOISOLATR 5KV TRANSISTOR 4-SMD</t>
  </si>
  <si>
    <t>D14, D16, D20, D22, D26, D28, D32, D33, D37, D38, D42, D44</t>
  </si>
  <si>
    <t>LITEON LTV-817</t>
  </si>
  <si>
    <t>SS54FSH_M2G</t>
  </si>
  <si>
    <t>Schottky Diodes &amp; Rectifiers 5A, 40V, Schottky Rectifier</t>
  </si>
  <si>
    <t>D56, D58, D61</t>
  </si>
  <si>
    <t>SODFL4725X110N</t>
  </si>
  <si>
    <t>SZMMSZ5227BT1G</t>
  </si>
  <si>
    <t>D57</t>
  </si>
  <si>
    <t>DIO_SZMMSZ5227BT1G</t>
  </si>
  <si>
    <t>SZ1SMA5918BT3G</t>
  </si>
  <si>
    <t>Zener Diode 5.1 V 1.5 W Â±5% Surface Mount SMA</t>
  </si>
  <si>
    <t>D60</t>
  </si>
  <si>
    <t>DIOM5226X220N</t>
  </si>
  <si>
    <t>ESD5Z3V3</t>
  </si>
  <si>
    <t>ESD, SOD-523, 0.05ÂµA, 3.3V, Unidir</t>
  </si>
  <si>
    <t>D64</t>
  </si>
  <si>
    <t>SOD-523_DIOTEC-SEMICONDUCTOR</t>
  </si>
  <si>
    <t>USBLC6-2SC6Y</t>
  </si>
  <si>
    <t>17V Clamp 5A (8/20µs) Ipp Tvs Diode Surface Mount SOT-23-6</t>
  </si>
  <si>
    <t>D65</t>
  </si>
  <si>
    <t>SOT95P280X145-6N</t>
  </si>
  <si>
    <t>SMAJ5.0AH</t>
  </si>
  <si>
    <t>D66</t>
  </si>
  <si>
    <t>DIOM4325X250N</t>
  </si>
  <si>
    <t>CC12H1.5A-TR</t>
  </si>
  <si>
    <t>FUSE BOARD MOUNT 1.5A 63VDC 1206</t>
  </si>
  <si>
    <t>F1</t>
  </si>
  <si>
    <t>FUSE 1206_3216 0.6MM</t>
  </si>
  <si>
    <t>3413.0220.22</t>
  </si>
  <si>
    <t>FUSE BOARD MNT 2.5A 32VAC 63VDC</t>
  </si>
  <si>
    <t>F2, F3</t>
  </si>
  <si>
    <t>100 Ohms @ 100 MHz</t>
  </si>
  <si>
    <t>FERRITE BEAD, CHIP, 0805, 100 OH</t>
  </si>
  <si>
    <t>FB1</t>
  </si>
  <si>
    <t>FER 0805_2012</t>
  </si>
  <si>
    <t>HRB0805S101K1.00FT</t>
  </si>
  <si>
    <t>10 Pin 5X2Pos THT</t>
  </si>
  <si>
    <t>10 Pin 5X2Pos THT BergeStick 2.54MM MTSW-105-X-X-D-X</t>
  </si>
  <si>
    <t>J1</t>
  </si>
  <si>
    <t>OQ0632510000G</t>
  </si>
  <si>
    <t>TERM BLOCK HDR 6POS 90DEG 3.81MM</t>
  </si>
  <si>
    <t>J2, J6, J7, J9, J12, J13, J15, J16, J17</t>
  </si>
  <si>
    <t>FCI 06-381-6PIN</t>
  </si>
  <si>
    <t>NPPN051BFCN-RC</t>
  </si>
  <si>
    <t>CONN HDR 5POS 0.079 GOLD PCB</t>
  </si>
  <si>
    <t>J3</t>
  </si>
  <si>
    <t>SULLINS NPPN051BFCN</t>
  </si>
  <si>
    <t>NPPN061BFCN-RC</t>
  </si>
  <si>
    <t>CONN HDR 6POS 0.079 GOLD PCB</t>
  </si>
  <si>
    <t>J4</t>
  </si>
  <si>
    <t>SULLINS NPPN061BFCN</t>
  </si>
  <si>
    <t>S8421-45R</t>
  </si>
  <si>
    <t>Coin Cell Battery Retainer, Horizontal SMT, for CR2032 Coin Cell Batteries, Tape &amp; Reeled</t>
  </si>
  <si>
    <t>J5</t>
  </si>
  <si>
    <t>HARWIN_S8421-45R</t>
  </si>
  <si>
    <t>OQ0332510000G</t>
  </si>
  <si>
    <t>TERM BLOCK HDR 3POS 90DEG 3.81MM</t>
  </si>
  <si>
    <t>J8</t>
  </si>
  <si>
    <t>FCI 06-381-3PIN</t>
  </si>
  <si>
    <t>PJS008-2003-0</t>
  </si>
  <si>
    <t>Memory Card Connectors MicroSD Crd Conn SMT Revrs Mnt Push-Push</t>
  </si>
  <si>
    <t>J10</t>
  </si>
  <si>
    <t>HR911105A</t>
  </si>
  <si>
    <t>DIP RJ45 Connector;</t>
  </si>
  <si>
    <t>J11</t>
  </si>
  <si>
    <t>HANRUN_HR911105A</t>
  </si>
  <si>
    <t>282837-2</t>
  </si>
  <si>
    <t>TERM BLK 2P SIDE ENT 5.08MM PCB</t>
  </si>
  <si>
    <t>J18</t>
  </si>
  <si>
    <t>TE 282837-2</t>
  </si>
  <si>
    <t>10104111-0001LF</t>
  </si>
  <si>
    <t>Conn Data USB TypeAB Socket 5Cnts RightAngle Micro SMT | Amphenol FCI (Amphenol CS) 10104111-0001LF</t>
  </si>
  <si>
    <t>J19</t>
  </si>
  <si>
    <t>AMPHENOL_10104111-0001LF</t>
  </si>
  <si>
    <t>54-00013</t>
  </si>
  <si>
    <t>Connector, USB A Jack, PCB side-mount, 90 degrees, nickel shell, board lock, black insulator, tray</t>
  </si>
  <si>
    <t>J20</t>
  </si>
  <si>
    <t>TENSILITY_54-00013</t>
  </si>
  <si>
    <t>SRD-12VDC-SL-C</t>
  </si>
  <si>
    <t>General Purpose Non Latching 12VDC SPDT Through Hole Relays RoHS</t>
  </si>
  <si>
    <t>K1, K2</t>
  </si>
  <si>
    <t>RELAY_SRD-12VDC-SL-C</t>
  </si>
  <si>
    <t>ASPI-0630LR-220M-T15</t>
  </si>
  <si>
    <t/>
  </si>
  <si>
    <t>L1, L2</t>
  </si>
  <si>
    <t>IND_ASPI-0630LR-220M-T15</t>
  </si>
  <si>
    <t>RK-0505S/H</t>
  </si>
  <si>
    <t>DC/DC Converter, 1 Watt, SIP7, Single Output</t>
  </si>
  <si>
    <t>PS1</t>
  </si>
  <si>
    <t>CONV_RK-0505S/H</t>
  </si>
  <si>
    <t>BC847BLT1G</t>
  </si>
  <si>
    <t>TRANS NPN 45V 0.1A SOT23</t>
  </si>
  <si>
    <t>Q1, Q2, Q3, Q4, Q5, Q6, Q7, Q8, Q9</t>
  </si>
  <si>
    <t>ON SEMI SOT-23-3</t>
  </si>
  <si>
    <t>1 kOhms</t>
  </si>
  <si>
    <t>RES SMD 1K OHM 1% 0.4W 0805, RES SMD 1K OHM 0.1% 1/10W 0805</t>
  </si>
  <si>
    <t>R1, R2, R10, R13, R16, R37, R40, R45, R48, R53, R57, R62, R63, R69, R72, R76, R80, R85, R87, R89, R91, R92, R95, R98</t>
  </si>
  <si>
    <t>RES 0805_2012</t>
  </si>
  <si>
    <t>ESR10EZPF1001, CPF0805B1K0E</t>
  </si>
  <si>
    <t>10 Ohms</t>
  </si>
  <si>
    <t>RES 10 OHM 0.1% 1/10W 0805</t>
  </si>
  <si>
    <t>R3, R4, R5, R7, R9, R11, R14, R15, R17, R19, R20, R21, R22, R23</t>
  </si>
  <si>
    <t>RNCS0805BKE10R0</t>
  </si>
  <si>
    <t>330 Ohms</t>
  </si>
  <si>
    <t>RES SMD 330 OHM 1% 1/2W 0805, RES SMD 330 OHM 0.1% 1/4W 0805</t>
  </si>
  <si>
    <t>R6, R12, R41, R42, R49, R50, R56, R58, R64, R65, R68, R70, R75, R77, R78, R81, R82, R83, R84, R86, R88, R90, R93, R96, R107</t>
  </si>
  <si>
    <t>CRCW0805330RFKEAHP, ERJ-PB6B3300V</t>
  </si>
  <si>
    <t>10 kOhms</t>
  </si>
  <si>
    <t>RES SMD 10K OHM 0.1% 1/10W 0805, RES 10K OHM 0.1% 1/10W 0805, RES SMD 10K OHM 1% 0.4W 0805</t>
  </si>
  <si>
    <t>R8, R27, R28, R29, R36, R39, R44, R47, R52, R55, R60, R61, R67, R71, R74, R79</t>
  </si>
  <si>
    <t>CPF0805B10KE, RNCS0805BKE10K0, ESR10EZPF1002</t>
  </si>
  <si>
    <t>120 Ohms</t>
  </si>
  <si>
    <t>RES 120 OHM 1% 1/8W 0805</t>
  </si>
  <si>
    <t>R18</t>
  </si>
  <si>
    <t>RMCF0805FT120R</t>
  </si>
  <si>
    <t>49.9 Ohms</t>
  </si>
  <si>
    <t>RCC0805 100 49R9 1% ET1 E3</t>
  </si>
  <si>
    <t>R24, R25, R31, R32</t>
  </si>
  <si>
    <t>RCC080549R9FKEA</t>
  </si>
  <si>
    <t>RES SMD 11 OHM 1% 1/8W 0805</t>
  </si>
  <si>
    <t>R26</t>
  </si>
  <si>
    <t>KTR10EZPF11R0</t>
  </si>
  <si>
    <t>12.4 kOhms</t>
  </si>
  <si>
    <t>RES 12.4 KOHMS 0.1% 1/5W 0805</t>
  </si>
  <si>
    <t>R30</t>
  </si>
  <si>
    <t>RQ73C2A12K4BTD</t>
  </si>
  <si>
    <t>RES 330 OHM 1% 1/8W 0805</t>
  </si>
  <si>
    <t>R33, R34</t>
  </si>
  <si>
    <t>YAGEO RES 0805_2012</t>
  </si>
  <si>
    <t>RC0805FR-07330RL</t>
  </si>
  <si>
    <t>1.65 kOhms</t>
  </si>
  <si>
    <t>RES SMD 1.65K OHM 1% 1/8W 0805</t>
  </si>
  <si>
    <t>R94</t>
  </si>
  <si>
    <t>KTR10EZPF1651</t>
  </si>
  <si>
    <t>3.16 kOhms</t>
  </si>
  <si>
    <t>RES SMD 3.16K OHM 1% 1/8W 0805</t>
  </si>
  <si>
    <t>R97</t>
  </si>
  <si>
    <t>CRCW08053K16FKEA</t>
  </si>
  <si>
    <t>680 Ohms</t>
  </si>
  <si>
    <t>RES SMD 680 OHM 0.5% 1/4W 0805</t>
  </si>
  <si>
    <t>R99</t>
  </si>
  <si>
    <t>RNCF0805DTE680R</t>
  </si>
  <si>
    <t>RES SMD 10K OHM 0.5% 1/8W 0805</t>
  </si>
  <si>
    <t>R100</t>
  </si>
  <si>
    <t>RT0805DRD0710KL</t>
  </si>
  <si>
    <t>47 kOhms</t>
  </si>
  <si>
    <t>RES SMD 47K OHM 0.5% 1/8W 0805</t>
  </si>
  <si>
    <t>R101, R108</t>
  </si>
  <si>
    <t>RT0805DRD0747KL</t>
  </si>
  <si>
    <t>RES 1 OHM 1% 1/4W 0805</t>
  </si>
  <si>
    <t>R102, R103, R106</t>
  </si>
  <si>
    <t>CSR0805FK1R00</t>
  </si>
  <si>
    <t>22 Ohms</t>
  </si>
  <si>
    <t>RES 22 OHM 5% 1/3W 0805</t>
  </si>
  <si>
    <t>R104, R105</t>
  </si>
  <si>
    <t>CRGH0805J22R</t>
  </si>
  <si>
    <t>G6DN-1A DC5</t>
  </si>
  <si>
    <t>RELAY GEN PURPOSE SPST 5A 5V</t>
  </si>
  <si>
    <t>RL1, RL2, RL3</t>
  </si>
  <si>
    <t>OMRON G6DN</t>
  </si>
  <si>
    <t>MOV-14D471K</t>
  </si>
  <si>
    <t>470 V 4.5 kA Varistor 1 Circuit Through Hole Disc 14mm</t>
  </si>
  <si>
    <t>RV1</t>
  </si>
  <si>
    <t>MOV14D471K</t>
  </si>
  <si>
    <t>MSK12C02</t>
  </si>
  <si>
    <t>S1</t>
  </si>
  <si>
    <t>SW_MSK12C02</t>
  </si>
  <si>
    <t>STM32F446VET6</t>
  </si>
  <si>
    <t>ARMÂ® CortexÂ®-M4 STM32F4 Microcontroller IC 32-Bit Single-Core 180MHz 512KB (512K x 8) FLASH 100-LQFP (14x14)</t>
  </si>
  <si>
    <t>U1</t>
  </si>
  <si>
    <t>LQFP100-14X14MM</t>
  </si>
  <si>
    <t>DM-OLED096-636</t>
  </si>
  <si>
    <t>0.96â€ 128 X 64 MONOCHROME GRAPHIC OLED DISPLAY MODULE - I2C</t>
  </si>
  <si>
    <t>U2</t>
  </si>
  <si>
    <t>MODULE_DM-OLED096-636</t>
  </si>
  <si>
    <t>MAX3232ESE</t>
  </si>
  <si>
    <t>Dual Transmitter/Receiver RS-232 16-Pin SOIC N T/R</t>
  </si>
  <si>
    <t>U3, U6, U7</t>
  </si>
  <si>
    <t>SOIC127P600X175-16N</t>
  </si>
  <si>
    <t>74HC14D</t>
  </si>
  <si>
    <t>Inverter IC 6 Channel Schmitt Trigger 14-SOIC</t>
  </si>
  <si>
    <t>U4</t>
  </si>
  <si>
    <t>SOIC127P600X175-14N</t>
  </si>
  <si>
    <t>MAX3485EESA+</t>
  </si>
  <si>
    <t>3.3V Powered, Â±15kV ESD-Protected, 12Mbps, Slew-Rate-Limited True RS-485/RS-422 Transceivers</t>
  </si>
  <si>
    <t>U5</t>
  </si>
  <si>
    <t>SOIC127P600X175-8N</t>
  </si>
  <si>
    <t>CD4052BMT</t>
  </si>
  <si>
    <t>20-V, 4:1, 2-channel general-purpose multiplexer</t>
  </si>
  <si>
    <t>U8</t>
  </si>
  <si>
    <t>W25Q128JVSIQ</t>
  </si>
  <si>
    <t>FLASH - NOR Memory IC 128Mb (16M x 8) SPI - Quad I/O, QPI, DTR 133 MHz 8-SOIC</t>
  </si>
  <si>
    <t>U9</t>
  </si>
  <si>
    <t>SOIC127P790X216-8N</t>
  </si>
  <si>
    <t>AT24C512C-SSHM-T</t>
  </si>
  <si>
    <t>EEPROM Memory IC 512Kb (64K x 8) IÂ²C 400 kHz 900 ns 8-SOIC</t>
  </si>
  <si>
    <t>U10</t>
  </si>
  <si>
    <t>24AA02E48-I_SN</t>
  </si>
  <si>
    <t>Microchip 24AA02E48-I/SN Serial EEPROM Memory,2kb,3500ns,1.7 to 5.5V 8-Pin SOIC | Microchip Technology Inc. 24AA02E48-I/SN</t>
  </si>
  <si>
    <t>U11</t>
  </si>
  <si>
    <t>W5500</t>
  </si>
  <si>
    <t>Hardwired TCP/IP embedded Ethernet controller</t>
  </si>
  <si>
    <t>U12</t>
  </si>
  <si>
    <t>QFP50P900X900X160-48N</t>
  </si>
  <si>
    <t>LM2576HVSX-5.0/NOPB</t>
  </si>
  <si>
    <t>SIMPLE SWITCHERÂ® 4V to 60V, 3A Low Component Count Step-Down Regulator</t>
  </si>
  <si>
    <t>VREG_TPS79625KTTR</t>
  </si>
  <si>
    <t>STMPS2141STR</t>
  </si>
  <si>
    <t>Power Switch/Driver 1:1 N-Channel 500mA SOT-23-5</t>
  </si>
  <si>
    <t>U15</t>
  </si>
  <si>
    <t>SOT95P280X145-5N</t>
  </si>
  <si>
    <t>LM1117IMP-3.3/NOPB</t>
  </si>
  <si>
    <t>800-mA 15-V linear voltage regulator</t>
  </si>
  <si>
    <t>VR1</t>
  </si>
  <si>
    <t>VREG_LM1117IMP-3.3/NOPB</t>
  </si>
  <si>
    <t>CFS-20632768EZBB</t>
  </si>
  <si>
    <t>32.768kHz Â±10ppm Crystal 6pF 35 kOhms Cylindrical Can, Radial</t>
  </si>
  <si>
    <t>Y1</t>
  </si>
  <si>
    <t>CFS20632768EZBB</t>
  </si>
  <si>
    <t>XTAL_ECS-160-20-4X</t>
  </si>
  <si>
    <t>Rate</t>
  </si>
  <si>
    <t>Total</t>
  </si>
  <si>
    <t>LM2576HVSX-3.3/NOPB</t>
  </si>
  <si>
    <t xml:space="preserve"> U14</t>
  </si>
  <si>
    <t>U13</t>
  </si>
  <si>
    <t>ECS-8-20-4</t>
  </si>
  <si>
    <t>Crystals 8MHz HC49S</t>
  </si>
  <si>
    <t>ECS-25-20-4</t>
  </si>
  <si>
    <t>Crystals 25MHz HC49S</t>
  </si>
  <si>
    <t>Vander</t>
  </si>
  <si>
    <t>shrvielectronics</t>
  </si>
  <si>
    <t>element14</t>
  </si>
  <si>
    <t>robuin</t>
  </si>
  <si>
    <t>balaji</t>
  </si>
  <si>
    <t>5 Card material</t>
  </si>
  <si>
    <t xml:space="preserve">5 Card material + PCB </t>
  </si>
  <si>
    <t xml:space="preserve">Include GST TOTAL </t>
  </si>
  <si>
    <t>R188695</t>
  </si>
  <si>
    <t>R188694</t>
  </si>
  <si>
    <t>R154344</t>
  </si>
  <si>
    <t>ST2103SD1640</t>
  </si>
  <si>
    <t>ST2103SD1372</t>
  </si>
  <si>
    <t>ST2103SD2084</t>
  </si>
  <si>
    <t>ST2103SD2109</t>
  </si>
  <si>
    <t>ST2009SD0129</t>
  </si>
  <si>
    <t>ST2103SD2087</t>
  </si>
  <si>
    <t>ST2136CO4966</t>
  </si>
  <si>
    <t>ST2001CO0787</t>
  </si>
  <si>
    <t>ST2103SD0899</t>
  </si>
  <si>
    <t>100 R+ 100B</t>
  </si>
  <si>
    <t>R191332</t>
  </si>
  <si>
    <t>ST2103SD0896</t>
  </si>
  <si>
    <t>ST2103SD0940</t>
  </si>
  <si>
    <t>R251425</t>
  </si>
  <si>
    <t>R206705</t>
  </si>
  <si>
    <t>R207029</t>
  </si>
  <si>
    <t>ST2103SD1374</t>
  </si>
  <si>
    <t>ST2103SD1375</t>
  </si>
  <si>
    <t>ST2103SD1397</t>
  </si>
  <si>
    <t>ST2103SD1127</t>
  </si>
  <si>
    <t>ST2136CO6293</t>
  </si>
  <si>
    <t>ST2009SD0635</t>
  </si>
  <si>
    <t>ST2136CO7258</t>
  </si>
  <si>
    <t>R113903</t>
  </si>
  <si>
    <t>ST2101PS0628</t>
  </si>
  <si>
    <t>LM2576HVSX-3.30/NOPB</t>
  </si>
  <si>
    <t>R206199</t>
  </si>
  <si>
    <t>R194530</t>
  </si>
  <si>
    <t>Y2</t>
  </si>
  <si>
    <t>Y3</t>
  </si>
  <si>
    <t>ST2001CO0752</t>
  </si>
  <si>
    <t>ST2009SD0350</t>
  </si>
  <si>
    <t>R193008</t>
  </si>
  <si>
    <t>ST2103SD2190</t>
  </si>
  <si>
    <t>ST2009SD0550</t>
  </si>
  <si>
    <t>ST2009SD0199</t>
  </si>
  <si>
    <t>ST2103SD1465</t>
  </si>
  <si>
    <t>ST2009SD0204</t>
  </si>
  <si>
    <t>ST2009SD0275</t>
  </si>
  <si>
    <t>ST2136CO6189</t>
  </si>
  <si>
    <t>ST2136CO8455</t>
  </si>
  <si>
    <t>0 Ohms</t>
  </si>
  <si>
    <t>ST2009SD0718</t>
  </si>
  <si>
    <t>ST2009SD0450</t>
  </si>
  <si>
    <t>ST2103SD1710</t>
  </si>
  <si>
    <t>ST2009SD0646</t>
  </si>
  <si>
    <t>+A43:L430LR-220M-T15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</si>
</sst>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rgb="FF333E48"/>
      <name val="Arial"/>
      <family val="2"/>
    </font>
    <font>
      <sz val="8"/>
      <color rgb="FF777777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3" borderId="1" xfId="0" quotePrefix="1" applyFill="1" applyBorder="1"/>
    <xf numFmtId="0" fontId="0" fillId="3" borderId="1" xfId="0" applyFill="1" applyBorder="1"/>
    <xf numFmtId="0" fontId="0" fillId="3" borderId="0" xfId="0" applyFill="1"/>
    <xf numFmtId="0" fontId="0" fillId="4" borderId="1" xfId="0" quotePrefix="1" applyFill="1" applyBorder="1"/>
    <xf numFmtId="0" fontId="0" fillId="4" borderId="1" xfId="0" applyFill="1" applyBorder="1"/>
    <xf numFmtId="0" fontId="0" fillId="4" borderId="0" xfId="0" applyFill="1"/>
    <xf numFmtId="0" fontId="0" fillId="5" borderId="1" xfId="0" quotePrefix="1" applyFill="1" applyBorder="1"/>
    <xf numFmtId="0" fontId="0" fillId="5" borderId="1" xfId="0" applyFill="1" applyBorder="1"/>
    <xf numFmtId="0" fontId="0" fillId="5" borderId="0" xfId="0" applyFill="1"/>
    <xf numFmtId="0" fontId="6" fillId="0" borderId="0" xfId="0" applyFont="1"/>
    <xf numFmtId="0" fontId="0" fillId="6" borderId="1" xfId="0" quotePrefix="1" applyFill="1" applyBorder="1"/>
    <xf numFmtId="0" fontId="0" fillId="6" borderId="1" xfId="0" applyFill="1" applyBorder="1"/>
    <xf numFmtId="0" fontId="0" fillId="6" borderId="0" xfId="0" applyFill="1"/>
    <xf numFmtId="0" fontId="6" fillId="5" borderId="0" xfId="0" applyFont="1" applyFill="1"/>
    <xf numFmtId="0" fontId="5" fillId="3" borderId="0" xfId="0" applyFont="1" applyFill="1"/>
    <xf numFmtId="0" fontId="4" fillId="5" borderId="0" xfId="0" applyFont="1" applyFill="1"/>
    <xf numFmtId="0" fontId="0" fillId="7" borderId="1" xfId="0" quotePrefix="1" applyFill="1" applyBorder="1"/>
    <xf numFmtId="0" fontId="0" fillId="7" borderId="1" xfId="0" applyFill="1" applyBorder="1"/>
    <xf numFmtId="0" fontId="0" fillId="7" borderId="0" xfId="0" applyFill="1"/>
    <xf numFmtId="0" fontId="0" fillId="3" borderId="2" xfId="0" applyFill="1" applyBorder="1"/>
    <xf numFmtId="0" fontId="6" fillId="4" borderId="0" xfId="0" applyFont="1" applyFill="1"/>
    <xf numFmtId="0" fontId="0" fillId="8" borderId="1" xfId="0" quotePrefix="1" applyFill="1" applyBorder="1"/>
    <xf numFmtId="0" fontId="0" fillId="8" borderId="1" xfId="0" applyFill="1" applyBorder="1"/>
    <xf numFmtId="0" fontId="0" fillId="8" borderId="0" xfId="0" applyFill="1"/>
    <xf numFmtId="0" fontId="0" fillId="9" borderId="1" xfId="0" quotePrefix="1" applyFill="1" applyBorder="1"/>
    <xf numFmtId="0" fontId="0" fillId="9" borderId="1" xfId="0" applyFill="1" applyBorder="1"/>
    <xf numFmtId="0" fontId="0" fillId="9" borderId="0" xfId="0" applyFill="1"/>
    <xf numFmtId="0" fontId="0" fillId="3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9810E-3DDB-4018-9CF0-FEF019857BAB}">
  <dimension ref="A1:M88"/>
  <sheetViews>
    <sheetView tabSelected="1" topLeftCell="A87" zoomScale="96" zoomScaleNormal="100" workbookViewId="0">
      <selection activeCell="F7" sqref="F7"/>
    </sheetView>
  </sheetViews>
  <sheetFormatPr defaultRowHeight="14.4" x14ac:dyDescent="0.3"/>
  <cols>
    <col min="1" max="2" width="19" customWidth="1"/>
    <col min="3" max="3" width="18.5546875" customWidth="1"/>
    <col min="4" max="4" width="30.44140625" customWidth="1"/>
    <col min="5" max="6" width="19" customWidth="1"/>
    <col min="8" max="8" width="12.44140625" bestFit="1" customWidth="1"/>
    <col min="10" max="10" width="13.109375" customWidth="1"/>
  </cols>
  <sheetData>
    <row r="1" spans="1:11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298</v>
      </c>
      <c r="H1" s="4" t="s">
        <v>299</v>
      </c>
      <c r="I1" s="4" t="s">
        <v>307</v>
      </c>
    </row>
    <row r="2" spans="1:11" x14ac:dyDescent="0.3">
      <c r="A2" s="2"/>
      <c r="B2" s="1"/>
      <c r="C2" s="1"/>
      <c r="D2" s="2"/>
      <c r="E2" s="2"/>
      <c r="F2" s="1"/>
    </row>
    <row r="3" spans="1:11" x14ac:dyDescent="0.3">
      <c r="A3" s="11" t="s">
        <v>6</v>
      </c>
      <c r="B3" s="11" t="s">
        <v>7</v>
      </c>
      <c r="C3" s="11" t="s">
        <v>8</v>
      </c>
      <c r="D3" s="11" t="s">
        <v>9</v>
      </c>
      <c r="E3" s="11" t="s">
        <v>10</v>
      </c>
      <c r="F3" s="12">
        <v>6</v>
      </c>
      <c r="G3" s="13">
        <v>1.5</v>
      </c>
      <c r="H3" s="13">
        <f>SUM(F3*G3)</f>
        <v>9</v>
      </c>
      <c r="I3" s="13" t="s">
        <v>311</v>
      </c>
      <c r="J3" s="13"/>
    </row>
    <row r="4" spans="1:11" x14ac:dyDescent="0.3">
      <c r="A4" s="18" t="s">
        <v>11</v>
      </c>
      <c r="B4" s="18" t="s">
        <v>12</v>
      </c>
      <c r="C4" s="18" t="s">
        <v>13</v>
      </c>
      <c r="D4" s="18" t="s">
        <v>9</v>
      </c>
      <c r="E4" s="18" t="s">
        <v>14</v>
      </c>
      <c r="F4" s="19">
        <v>41</v>
      </c>
      <c r="G4" s="20">
        <v>1.5</v>
      </c>
      <c r="H4" s="20">
        <f t="shared" ref="H4:H67" si="0">SUM(F4*G4)</f>
        <v>61.5</v>
      </c>
      <c r="I4" s="20" t="s">
        <v>311</v>
      </c>
      <c r="J4" s="20"/>
    </row>
    <row r="5" spans="1:11" x14ac:dyDescent="0.3">
      <c r="A5" s="14" t="s">
        <v>15</v>
      </c>
      <c r="B5" s="14" t="s">
        <v>16</v>
      </c>
      <c r="C5" s="14" t="s">
        <v>17</v>
      </c>
      <c r="D5" s="14" t="s">
        <v>9</v>
      </c>
      <c r="E5" s="14" t="s">
        <v>18</v>
      </c>
      <c r="F5" s="15">
        <v>4</v>
      </c>
      <c r="G5" s="16">
        <v>1.5</v>
      </c>
      <c r="H5" s="16">
        <f t="shared" si="0"/>
        <v>6</v>
      </c>
      <c r="I5" s="16" t="s">
        <v>308</v>
      </c>
      <c r="J5" s="21" t="s">
        <v>318</v>
      </c>
    </row>
    <row r="6" spans="1:11" x14ac:dyDescent="0.3">
      <c r="A6" s="14" t="s">
        <v>19</v>
      </c>
      <c r="B6" s="14" t="s">
        <v>20</v>
      </c>
      <c r="C6" s="14" t="s">
        <v>21</v>
      </c>
      <c r="D6" s="14" t="s">
        <v>22</v>
      </c>
      <c r="E6" s="14" t="s">
        <v>23</v>
      </c>
      <c r="F6" s="15">
        <v>5</v>
      </c>
      <c r="G6" s="16">
        <v>1.5</v>
      </c>
      <c r="H6" s="16">
        <f t="shared" si="0"/>
        <v>7.5</v>
      </c>
      <c r="I6" s="16" t="s">
        <v>308</v>
      </c>
      <c r="J6" s="21" t="s">
        <v>319</v>
      </c>
    </row>
    <row r="7" spans="1:11" x14ac:dyDescent="0.3">
      <c r="A7" s="14" t="s">
        <v>24</v>
      </c>
      <c r="B7" s="14" t="s">
        <v>25</v>
      </c>
      <c r="C7" s="14" t="s">
        <v>26</v>
      </c>
      <c r="D7" s="14" t="s">
        <v>9</v>
      </c>
      <c r="E7" s="14" t="s">
        <v>27</v>
      </c>
      <c r="F7" s="15">
        <v>2</v>
      </c>
      <c r="G7" s="16">
        <v>1.5</v>
      </c>
      <c r="H7" s="16">
        <f t="shared" si="0"/>
        <v>3</v>
      </c>
      <c r="I7" s="16" t="s">
        <v>308</v>
      </c>
      <c r="J7" s="21" t="s">
        <v>320</v>
      </c>
    </row>
    <row r="8" spans="1:11" x14ac:dyDescent="0.3">
      <c r="A8" s="14" t="s">
        <v>28</v>
      </c>
      <c r="B8" s="14" t="s">
        <v>29</v>
      </c>
      <c r="C8" s="14" t="s">
        <v>30</v>
      </c>
      <c r="D8" s="14" t="s">
        <v>9</v>
      </c>
      <c r="E8" s="14" t="s">
        <v>31</v>
      </c>
      <c r="F8" s="15">
        <v>1</v>
      </c>
      <c r="G8" s="16">
        <v>1.5</v>
      </c>
      <c r="H8" s="16">
        <f t="shared" si="0"/>
        <v>1.5</v>
      </c>
      <c r="I8" s="16" t="s">
        <v>308</v>
      </c>
      <c r="J8" s="21" t="s">
        <v>323</v>
      </c>
    </row>
    <row r="9" spans="1:11" x14ac:dyDescent="0.3">
      <c r="A9" s="14" t="s">
        <v>32</v>
      </c>
      <c r="B9" s="14" t="s">
        <v>33</v>
      </c>
      <c r="C9" s="14" t="s">
        <v>34</v>
      </c>
      <c r="D9" s="14" t="s">
        <v>9</v>
      </c>
      <c r="E9" s="14" t="s">
        <v>35</v>
      </c>
      <c r="F9" s="15">
        <v>2</v>
      </c>
      <c r="G9" s="16">
        <v>1.5</v>
      </c>
      <c r="H9" s="16">
        <f t="shared" si="0"/>
        <v>3</v>
      </c>
      <c r="I9" s="16" t="s">
        <v>308</v>
      </c>
      <c r="J9" s="21" t="s">
        <v>322</v>
      </c>
    </row>
    <row r="10" spans="1:11" x14ac:dyDescent="0.3">
      <c r="A10" s="14" t="s">
        <v>36</v>
      </c>
      <c r="B10" s="14" t="s">
        <v>37</v>
      </c>
      <c r="C10" s="14" t="s">
        <v>38</v>
      </c>
      <c r="D10" s="14" t="s">
        <v>9</v>
      </c>
      <c r="E10" s="14" t="s">
        <v>39</v>
      </c>
      <c r="F10" s="15">
        <v>2</v>
      </c>
      <c r="G10" s="16">
        <v>1.5</v>
      </c>
      <c r="H10" s="16">
        <f t="shared" si="0"/>
        <v>3</v>
      </c>
      <c r="I10" s="16" t="s">
        <v>308</v>
      </c>
      <c r="J10" s="21" t="s">
        <v>321</v>
      </c>
    </row>
    <row r="11" spans="1:11" x14ac:dyDescent="0.3">
      <c r="A11" s="8" t="s">
        <v>40</v>
      </c>
      <c r="B11" s="8" t="s">
        <v>41</v>
      </c>
      <c r="C11" s="8" t="s">
        <v>42</v>
      </c>
      <c r="D11" s="8" t="s">
        <v>43</v>
      </c>
      <c r="E11" s="8" t="s">
        <v>40</v>
      </c>
      <c r="F11" s="9">
        <v>1</v>
      </c>
      <c r="G11" s="10">
        <v>1.5</v>
      </c>
      <c r="H11" s="10">
        <f t="shared" si="0"/>
        <v>1.5</v>
      </c>
      <c r="I11" s="10" t="s">
        <v>310</v>
      </c>
      <c r="J11" s="22" t="s">
        <v>317</v>
      </c>
      <c r="K11">
        <v>5</v>
      </c>
    </row>
    <row r="12" spans="1:11" x14ac:dyDescent="0.3">
      <c r="A12" s="8" t="s">
        <v>44</v>
      </c>
      <c r="B12" s="8" t="s">
        <v>45</v>
      </c>
      <c r="C12" s="8" t="s">
        <v>46</v>
      </c>
      <c r="D12" s="8" t="s">
        <v>47</v>
      </c>
      <c r="E12" s="8" t="s">
        <v>48</v>
      </c>
      <c r="F12" s="9">
        <v>2</v>
      </c>
      <c r="G12" s="10">
        <v>2.5</v>
      </c>
      <c r="H12" s="10">
        <f t="shared" si="0"/>
        <v>5</v>
      </c>
      <c r="I12" s="10" t="s">
        <v>310</v>
      </c>
      <c r="J12" s="22" t="s">
        <v>315</v>
      </c>
      <c r="K12">
        <v>10</v>
      </c>
    </row>
    <row r="13" spans="1:11" x14ac:dyDescent="0.3">
      <c r="A13" s="8" t="s">
        <v>49</v>
      </c>
      <c r="B13" s="8" t="s">
        <v>50</v>
      </c>
      <c r="C13" s="8" t="s">
        <v>51</v>
      </c>
      <c r="D13" s="8" t="s">
        <v>52</v>
      </c>
      <c r="E13" s="8" t="s">
        <v>53</v>
      </c>
      <c r="F13" s="9">
        <v>2</v>
      </c>
      <c r="G13" s="10">
        <v>4.5</v>
      </c>
      <c r="H13" s="10">
        <f t="shared" si="0"/>
        <v>9</v>
      </c>
      <c r="I13" s="10" t="s">
        <v>310</v>
      </c>
      <c r="J13" s="22" t="s">
        <v>316</v>
      </c>
      <c r="K13">
        <v>10</v>
      </c>
    </row>
    <row r="14" spans="1:11" x14ac:dyDescent="0.3">
      <c r="A14" s="14" t="s">
        <v>54</v>
      </c>
      <c r="B14" s="15"/>
      <c r="C14" s="14" t="s">
        <v>55</v>
      </c>
      <c r="D14" s="14" t="s">
        <v>56</v>
      </c>
      <c r="E14" s="14" t="s">
        <v>54</v>
      </c>
      <c r="F14" s="15">
        <v>1</v>
      </c>
      <c r="G14" s="16">
        <v>10</v>
      </c>
      <c r="H14" s="16">
        <f t="shared" si="0"/>
        <v>10</v>
      </c>
      <c r="I14" s="16" t="s">
        <v>308</v>
      </c>
      <c r="J14" s="21" t="s">
        <v>324</v>
      </c>
    </row>
    <row r="15" spans="1:11" x14ac:dyDescent="0.3">
      <c r="A15" s="14" t="s">
        <v>19</v>
      </c>
      <c r="B15" s="14" t="s">
        <v>57</v>
      </c>
      <c r="C15" s="14" t="s">
        <v>58</v>
      </c>
      <c r="D15" s="14" t="s">
        <v>59</v>
      </c>
      <c r="E15" s="14" t="s">
        <v>60</v>
      </c>
      <c r="F15" s="15">
        <v>2</v>
      </c>
      <c r="G15" s="16">
        <v>6</v>
      </c>
      <c r="H15" s="16">
        <f t="shared" si="0"/>
        <v>12</v>
      </c>
      <c r="I15" s="16" t="s">
        <v>308</v>
      </c>
      <c r="J15" s="23" t="s">
        <v>319</v>
      </c>
    </row>
    <row r="16" spans="1:11" x14ac:dyDescent="0.3">
      <c r="A16" s="14" t="s">
        <v>61</v>
      </c>
      <c r="B16" s="14" t="s">
        <v>62</v>
      </c>
      <c r="C16" s="14" t="s">
        <v>63</v>
      </c>
      <c r="D16" s="14" t="s">
        <v>64</v>
      </c>
      <c r="E16" s="14" t="s">
        <v>61</v>
      </c>
      <c r="F16" s="15">
        <v>7</v>
      </c>
      <c r="G16" s="16">
        <v>2</v>
      </c>
      <c r="H16" s="16">
        <f t="shared" si="0"/>
        <v>14</v>
      </c>
      <c r="I16" s="16" t="s">
        <v>308</v>
      </c>
      <c r="J16" s="21" t="s">
        <v>325</v>
      </c>
    </row>
    <row r="17" spans="1:13" x14ac:dyDescent="0.3">
      <c r="A17" s="14" t="s">
        <v>65</v>
      </c>
      <c r="B17" s="14" t="s">
        <v>66</v>
      </c>
      <c r="C17" s="14" t="s">
        <v>67</v>
      </c>
      <c r="D17" s="14" t="s">
        <v>65</v>
      </c>
      <c r="E17" s="14" t="s">
        <v>65</v>
      </c>
      <c r="F17" s="15">
        <v>7</v>
      </c>
      <c r="G17" s="16">
        <v>28</v>
      </c>
      <c r="H17" s="16">
        <f t="shared" si="0"/>
        <v>196</v>
      </c>
      <c r="I17" s="16" t="s">
        <v>310</v>
      </c>
      <c r="J17" s="21" t="s">
        <v>326</v>
      </c>
    </row>
    <row r="18" spans="1:13" x14ac:dyDescent="0.3">
      <c r="A18" s="18" t="s">
        <v>68</v>
      </c>
      <c r="B18" s="18" t="s">
        <v>69</v>
      </c>
      <c r="C18" s="18" t="s">
        <v>70</v>
      </c>
      <c r="D18" s="18" t="s">
        <v>71</v>
      </c>
      <c r="E18" s="18" t="s">
        <v>68</v>
      </c>
      <c r="F18" s="19">
        <v>23</v>
      </c>
      <c r="G18" s="20">
        <v>1</v>
      </c>
      <c r="H18" s="20">
        <f t="shared" si="0"/>
        <v>23</v>
      </c>
      <c r="I18" s="20" t="s">
        <v>311</v>
      </c>
      <c r="J18" s="20" t="s">
        <v>327</v>
      </c>
    </row>
    <row r="19" spans="1:13" x14ac:dyDescent="0.3">
      <c r="A19" s="8" t="s">
        <v>72</v>
      </c>
      <c r="B19" s="8" t="s">
        <v>73</v>
      </c>
      <c r="C19" s="8" t="s">
        <v>74</v>
      </c>
      <c r="D19" s="8" t="s">
        <v>75</v>
      </c>
      <c r="E19" s="8" t="s">
        <v>72</v>
      </c>
      <c r="F19" s="9">
        <v>1</v>
      </c>
      <c r="G19" s="10">
        <v>5</v>
      </c>
      <c r="H19" s="10">
        <f t="shared" si="0"/>
        <v>5</v>
      </c>
      <c r="I19" s="10" t="s">
        <v>310</v>
      </c>
      <c r="J19" s="22" t="s">
        <v>328</v>
      </c>
      <c r="K19">
        <v>5</v>
      </c>
      <c r="L19" s="17" t="s">
        <v>363</v>
      </c>
    </row>
    <row r="20" spans="1:13" x14ac:dyDescent="0.3">
      <c r="A20" s="11" t="s">
        <v>76</v>
      </c>
      <c r="B20" s="11" t="s">
        <v>77</v>
      </c>
      <c r="C20" s="11" t="s">
        <v>78</v>
      </c>
      <c r="D20" s="11" t="s">
        <v>79</v>
      </c>
      <c r="E20" s="11" t="s">
        <v>76</v>
      </c>
      <c r="F20" s="12">
        <v>12</v>
      </c>
      <c r="G20" s="13">
        <v>16</v>
      </c>
      <c r="H20" s="13">
        <f t="shared" si="0"/>
        <v>192</v>
      </c>
      <c r="I20" s="13" t="s">
        <v>308</v>
      </c>
      <c r="J20" s="13" t="s">
        <v>329</v>
      </c>
      <c r="K20" s="13"/>
      <c r="L20" s="13"/>
      <c r="M20" s="13"/>
    </row>
    <row r="21" spans="1:13" x14ac:dyDescent="0.3">
      <c r="A21" s="14" t="s">
        <v>80</v>
      </c>
      <c r="B21" s="14" t="s">
        <v>81</v>
      </c>
      <c r="C21" s="14" t="s">
        <v>82</v>
      </c>
      <c r="D21" s="14" t="s">
        <v>83</v>
      </c>
      <c r="E21" s="14" t="s">
        <v>80</v>
      </c>
      <c r="F21" s="15">
        <v>3</v>
      </c>
      <c r="G21" s="16">
        <v>9</v>
      </c>
      <c r="H21" s="16">
        <f t="shared" si="0"/>
        <v>27</v>
      </c>
      <c r="I21" s="16" t="s">
        <v>310</v>
      </c>
      <c r="J21" s="16" t="s">
        <v>330</v>
      </c>
    </row>
    <row r="22" spans="1:13" x14ac:dyDescent="0.3">
      <c r="A22" s="8" t="s">
        <v>84</v>
      </c>
      <c r="B22" s="9"/>
      <c r="C22" s="8" t="s">
        <v>85</v>
      </c>
      <c r="D22" s="8" t="s">
        <v>86</v>
      </c>
      <c r="E22" s="8" t="s">
        <v>84</v>
      </c>
      <c r="F22" s="9">
        <v>1</v>
      </c>
      <c r="G22" s="10">
        <v>10</v>
      </c>
      <c r="H22" s="10">
        <f t="shared" si="0"/>
        <v>10</v>
      </c>
      <c r="I22" s="10" t="s">
        <v>310</v>
      </c>
      <c r="J22" s="22" t="s">
        <v>331</v>
      </c>
      <c r="K22">
        <v>5</v>
      </c>
    </row>
    <row r="23" spans="1:13" x14ac:dyDescent="0.3">
      <c r="A23" s="8" t="s">
        <v>87</v>
      </c>
      <c r="B23" s="8" t="s">
        <v>88</v>
      </c>
      <c r="C23" s="8" t="s">
        <v>89</v>
      </c>
      <c r="D23" s="8" t="s">
        <v>90</v>
      </c>
      <c r="E23" s="8" t="s">
        <v>87</v>
      </c>
      <c r="F23" s="9">
        <v>1</v>
      </c>
      <c r="G23" s="10">
        <v>12</v>
      </c>
      <c r="H23" s="10">
        <f t="shared" si="0"/>
        <v>12</v>
      </c>
      <c r="I23" s="10" t="s">
        <v>310</v>
      </c>
      <c r="J23" s="22" t="s">
        <v>332</v>
      </c>
      <c r="K23">
        <v>15</v>
      </c>
    </row>
    <row r="24" spans="1:13" x14ac:dyDescent="0.3">
      <c r="A24" s="8" t="s">
        <v>91</v>
      </c>
      <c r="B24" s="8" t="s">
        <v>92</v>
      </c>
      <c r="C24" s="8" t="s">
        <v>93</v>
      </c>
      <c r="D24" s="8" t="s">
        <v>94</v>
      </c>
      <c r="E24" s="8" t="s">
        <v>91</v>
      </c>
      <c r="F24" s="9">
        <v>1</v>
      </c>
      <c r="G24" s="10">
        <v>4</v>
      </c>
      <c r="H24" s="10">
        <f t="shared" si="0"/>
        <v>4</v>
      </c>
      <c r="I24" s="10" t="s">
        <v>310</v>
      </c>
      <c r="J24" s="22" t="s">
        <v>333</v>
      </c>
      <c r="K24">
        <v>5</v>
      </c>
    </row>
    <row r="25" spans="1:13" x14ac:dyDescent="0.3">
      <c r="A25" s="24" t="s">
        <v>95</v>
      </c>
      <c r="B25" s="24" t="s">
        <v>96</v>
      </c>
      <c r="C25" s="24" t="s">
        <v>97</v>
      </c>
      <c r="D25" s="24" t="s">
        <v>98</v>
      </c>
      <c r="E25" s="24" t="s">
        <v>95</v>
      </c>
      <c r="F25" s="25">
        <v>1</v>
      </c>
      <c r="G25" s="26">
        <v>51.79</v>
      </c>
      <c r="H25" s="26">
        <f t="shared" si="0"/>
        <v>51.79</v>
      </c>
      <c r="I25" s="26" t="s">
        <v>309</v>
      </c>
      <c r="J25" s="26"/>
    </row>
    <row r="26" spans="1:13" x14ac:dyDescent="0.3">
      <c r="A26" s="24" t="s">
        <v>99</v>
      </c>
      <c r="B26" s="25"/>
      <c r="C26" s="24" t="s">
        <v>100</v>
      </c>
      <c r="D26" s="24" t="s">
        <v>101</v>
      </c>
      <c r="E26" s="24" t="s">
        <v>99</v>
      </c>
      <c r="F26" s="25">
        <v>1</v>
      </c>
      <c r="G26" s="26">
        <v>17</v>
      </c>
      <c r="H26" s="26">
        <f t="shared" si="0"/>
        <v>17</v>
      </c>
      <c r="I26" s="26" t="s">
        <v>309</v>
      </c>
      <c r="J26" s="26"/>
    </row>
    <row r="27" spans="1:13" x14ac:dyDescent="0.3">
      <c r="A27" s="14" t="s">
        <v>102</v>
      </c>
      <c r="B27" s="14" t="s">
        <v>103</v>
      </c>
      <c r="C27" s="14" t="s">
        <v>104</v>
      </c>
      <c r="D27" s="14" t="s">
        <v>105</v>
      </c>
      <c r="E27" s="14" t="s">
        <v>102</v>
      </c>
      <c r="F27" s="15">
        <v>1</v>
      </c>
      <c r="G27" s="16"/>
      <c r="H27" s="16">
        <v>18</v>
      </c>
      <c r="I27" s="16" t="s">
        <v>308</v>
      </c>
      <c r="J27" s="21" t="s">
        <v>334</v>
      </c>
    </row>
    <row r="28" spans="1:13" x14ac:dyDescent="0.3">
      <c r="A28" s="14" t="s">
        <v>106</v>
      </c>
      <c r="B28" s="14" t="s">
        <v>107</v>
      </c>
      <c r="C28" s="14" t="s">
        <v>108</v>
      </c>
      <c r="D28" s="14" t="s">
        <v>105</v>
      </c>
      <c r="E28" s="14" t="s">
        <v>106</v>
      </c>
      <c r="F28" s="15">
        <v>2</v>
      </c>
      <c r="G28" s="16"/>
      <c r="H28" s="16">
        <v>18</v>
      </c>
      <c r="I28" s="16" t="s">
        <v>308</v>
      </c>
      <c r="J28" s="21" t="s">
        <v>335</v>
      </c>
    </row>
    <row r="29" spans="1:13" x14ac:dyDescent="0.3">
      <c r="A29" s="14" t="s">
        <v>109</v>
      </c>
      <c r="B29" s="14" t="s">
        <v>110</v>
      </c>
      <c r="C29" s="14" t="s">
        <v>111</v>
      </c>
      <c r="D29" s="14" t="s">
        <v>112</v>
      </c>
      <c r="E29" s="14" t="s">
        <v>113</v>
      </c>
      <c r="F29" s="15">
        <v>1</v>
      </c>
      <c r="G29" s="16"/>
      <c r="H29" s="16">
        <v>20</v>
      </c>
      <c r="I29" s="16" t="s">
        <v>308</v>
      </c>
      <c r="J29" s="21" t="s">
        <v>336</v>
      </c>
    </row>
    <row r="30" spans="1:13" x14ac:dyDescent="0.3">
      <c r="A30" s="2"/>
      <c r="B30" s="2"/>
      <c r="C30" s="2"/>
      <c r="D30" s="2"/>
      <c r="E30" s="2"/>
      <c r="F30" s="1"/>
    </row>
    <row r="31" spans="1:13" x14ac:dyDescent="0.3">
      <c r="A31" s="18" t="s">
        <v>114</v>
      </c>
      <c r="B31" s="18" t="s">
        <v>115</v>
      </c>
      <c r="C31" s="18" t="s">
        <v>116</v>
      </c>
      <c r="D31" s="18" t="s">
        <v>114</v>
      </c>
      <c r="E31" s="18" t="s">
        <v>114</v>
      </c>
      <c r="F31" s="19">
        <v>1</v>
      </c>
      <c r="G31" s="20">
        <v>8</v>
      </c>
      <c r="H31" s="20">
        <f t="shared" si="0"/>
        <v>8</v>
      </c>
      <c r="I31" s="20" t="s">
        <v>311</v>
      </c>
      <c r="J31" s="20"/>
    </row>
    <row r="32" spans="1:13" x14ac:dyDescent="0.3">
      <c r="A32" s="18" t="s">
        <v>117</v>
      </c>
      <c r="B32" s="18" t="s">
        <v>118</v>
      </c>
      <c r="C32" s="18" t="s">
        <v>119</v>
      </c>
      <c r="D32" s="18" t="s">
        <v>120</v>
      </c>
      <c r="E32" s="18" t="s">
        <v>117</v>
      </c>
      <c r="F32" s="19">
        <v>9</v>
      </c>
      <c r="G32" s="20">
        <v>48</v>
      </c>
      <c r="H32" s="20">
        <f t="shared" si="0"/>
        <v>432</v>
      </c>
      <c r="I32" s="20" t="s">
        <v>311</v>
      </c>
      <c r="J32" s="20"/>
    </row>
    <row r="33" spans="1:12" x14ac:dyDescent="0.3">
      <c r="A33" s="18" t="s">
        <v>121</v>
      </c>
      <c r="B33" s="18" t="s">
        <v>122</v>
      </c>
      <c r="C33" s="18" t="s">
        <v>123</v>
      </c>
      <c r="D33" s="18" t="s">
        <v>124</v>
      </c>
      <c r="E33" s="18" t="s">
        <v>121</v>
      </c>
      <c r="F33" s="19">
        <v>1</v>
      </c>
      <c r="G33" s="20">
        <v>8</v>
      </c>
      <c r="H33" s="20">
        <f t="shared" si="0"/>
        <v>8</v>
      </c>
      <c r="I33" s="20" t="s">
        <v>311</v>
      </c>
      <c r="J33" s="20"/>
    </row>
    <row r="34" spans="1:12" x14ac:dyDescent="0.3">
      <c r="A34" s="18" t="s">
        <v>125</v>
      </c>
      <c r="B34" s="18" t="s">
        <v>126</v>
      </c>
      <c r="C34" s="18" t="s">
        <v>127</v>
      </c>
      <c r="D34" s="18" t="s">
        <v>128</v>
      </c>
      <c r="E34" s="18" t="s">
        <v>125</v>
      </c>
      <c r="F34" s="19">
        <v>1</v>
      </c>
      <c r="G34" s="20">
        <v>8</v>
      </c>
      <c r="H34" s="20">
        <f t="shared" si="0"/>
        <v>8</v>
      </c>
      <c r="I34" s="20" t="s">
        <v>311</v>
      </c>
      <c r="J34" s="20"/>
    </row>
    <row r="35" spans="1:12" x14ac:dyDescent="0.3">
      <c r="A35" s="14" t="s">
        <v>129</v>
      </c>
      <c r="B35" s="14" t="s">
        <v>130</v>
      </c>
      <c r="C35" s="14" t="s">
        <v>131</v>
      </c>
      <c r="D35" s="14" t="s">
        <v>132</v>
      </c>
      <c r="E35" s="14" t="s">
        <v>129</v>
      </c>
      <c r="F35" s="15">
        <v>1</v>
      </c>
      <c r="G35" s="16">
        <v>29</v>
      </c>
      <c r="H35" s="16">
        <f t="shared" si="0"/>
        <v>29</v>
      </c>
      <c r="I35" s="16" t="s">
        <v>308</v>
      </c>
      <c r="J35" s="21" t="s">
        <v>337</v>
      </c>
    </row>
    <row r="36" spans="1:12" x14ac:dyDescent="0.3">
      <c r="A36" s="11" t="s">
        <v>133</v>
      </c>
      <c r="B36" s="11" t="s">
        <v>134</v>
      </c>
      <c r="C36" s="11" t="s">
        <v>135</v>
      </c>
      <c r="D36" s="11" t="s">
        <v>136</v>
      </c>
      <c r="E36" s="11" t="s">
        <v>133</v>
      </c>
      <c r="F36" s="12">
        <v>1</v>
      </c>
      <c r="G36" s="13">
        <v>22</v>
      </c>
      <c r="H36" s="13">
        <f t="shared" si="0"/>
        <v>22</v>
      </c>
      <c r="I36" s="13" t="s">
        <v>311</v>
      </c>
      <c r="J36" s="13"/>
    </row>
    <row r="37" spans="1:12" x14ac:dyDescent="0.3">
      <c r="A37" s="14" t="s">
        <v>137</v>
      </c>
      <c r="B37" s="14" t="s">
        <v>138</v>
      </c>
      <c r="C37" s="14" t="s">
        <v>139</v>
      </c>
      <c r="D37" s="14" t="s">
        <v>137</v>
      </c>
      <c r="E37" s="14" t="s">
        <v>137</v>
      </c>
      <c r="F37" s="15">
        <v>1</v>
      </c>
      <c r="G37" s="16">
        <v>25</v>
      </c>
      <c r="H37" s="16">
        <f t="shared" si="0"/>
        <v>25</v>
      </c>
      <c r="I37" s="16" t="s">
        <v>308</v>
      </c>
      <c r="J37" s="16" t="s">
        <v>339</v>
      </c>
    </row>
    <row r="38" spans="1:12" x14ac:dyDescent="0.3">
      <c r="A38" s="11" t="s">
        <v>140</v>
      </c>
      <c r="B38" s="11" t="s">
        <v>141</v>
      </c>
      <c r="C38" s="11" t="s">
        <v>142</v>
      </c>
      <c r="D38" s="11" t="s">
        <v>143</v>
      </c>
      <c r="E38" s="11" t="s">
        <v>140</v>
      </c>
      <c r="F38" s="12">
        <v>1</v>
      </c>
      <c r="G38" s="13">
        <v>225</v>
      </c>
      <c r="H38" s="13">
        <f t="shared" si="0"/>
        <v>225</v>
      </c>
      <c r="I38" s="13" t="s">
        <v>308</v>
      </c>
      <c r="J38" s="28" t="s">
        <v>338</v>
      </c>
    </row>
    <row r="39" spans="1:12" x14ac:dyDescent="0.3">
      <c r="A39" s="11" t="s">
        <v>144</v>
      </c>
      <c r="B39" s="11" t="s">
        <v>145</v>
      </c>
      <c r="C39" s="11" t="s">
        <v>146</v>
      </c>
      <c r="D39" s="11" t="s">
        <v>147</v>
      </c>
      <c r="E39" s="11" t="s">
        <v>144</v>
      </c>
      <c r="F39" s="12">
        <v>1</v>
      </c>
      <c r="G39" s="13">
        <v>16</v>
      </c>
      <c r="H39" s="13">
        <f t="shared" si="0"/>
        <v>16</v>
      </c>
      <c r="I39" s="13" t="s">
        <v>311</v>
      </c>
      <c r="J39" s="13"/>
    </row>
    <row r="40" spans="1:12" x14ac:dyDescent="0.3">
      <c r="A40" s="24" t="s">
        <v>148</v>
      </c>
      <c r="B40" s="24" t="s">
        <v>149</v>
      </c>
      <c r="C40" s="24" t="s">
        <v>150</v>
      </c>
      <c r="D40" s="24" t="s">
        <v>151</v>
      </c>
      <c r="E40" s="24" t="s">
        <v>148</v>
      </c>
      <c r="F40" s="25">
        <v>1</v>
      </c>
      <c r="G40" s="26">
        <v>58</v>
      </c>
      <c r="H40" s="26">
        <f t="shared" si="0"/>
        <v>58</v>
      </c>
      <c r="I40" s="26" t="s">
        <v>309</v>
      </c>
      <c r="J40" s="26"/>
    </row>
    <row r="41" spans="1:12" x14ac:dyDescent="0.3">
      <c r="A41" s="14" t="s">
        <v>152</v>
      </c>
      <c r="B41" s="14" t="s">
        <v>153</v>
      </c>
      <c r="C41" s="14" t="s">
        <v>154</v>
      </c>
      <c r="D41" s="14" t="s">
        <v>155</v>
      </c>
      <c r="E41" s="14" t="s">
        <v>152</v>
      </c>
      <c r="F41" s="15">
        <v>1</v>
      </c>
      <c r="G41" s="16">
        <v>25.88</v>
      </c>
      <c r="H41" s="16">
        <f t="shared" si="0"/>
        <v>25.88</v>
      </c>
      <c r="I41" s="16" t="s">
        <v>308</v>
      </c>
      <c r="J41" s="16" t="s">
        <v>340</v>
      </c>
    </row>
    <row r="42" spans="1:12" x14ac:dyDescent="0.3">
      <c r="A42" s="11" t="s">
        <v>156</v>
      </c>
      <c r="B42" s="11" t="s">
        <v>157</v>
      </c>
      <c r="C42" s="11" t="s">
        <v>158</v>
      </c>
      <c r="D42" s="11" t="s">
        <v>159</v>
      </c>
      <c r="E42" s="11" t="s">
        <v>156</v>
      </c>
      <c r="F42" s="12">
        <v>2</v>
      </c>
      <c r="G42" s="13">
        <v>20</v>
      </c>
      <c r="H42" s="13">
        <f t="shared" si="0"/>
        <v>40</v>
      </c>
      <c r="I42" s="13" t="s">
        <v>311</v>
      </c>
      <c r="J42" s="13"/>
    </row>
    <row r="43" spans="1:12" x14ac:dyDescent="0.3">
      <c r="A43" s="8" t="s">
        <v>364</v>
      </c>
      <c r="B43" s="8" t="s">
        <v>161</v>
      </c>
      <c r="C43" s="11" t="s">
        <v>162</v>
      </c>
      <c r="D43" s="11" t="s">
        <v>163</v>
      </c>
      <c r="E43" s="11" t="s">
        <v>160</v>
      </c>
      <c r="F43" s="12">
        <v>2</v>
      </c>
      <c r="G43" s="13">
        <v>45</v>
      </c>
      <c r="H43" s="13">
        <f t="shared" si="0"/>
        <v>90</v>
      </c>
      <c r="I43" s="13" t="s">
        <v>310</v>
      </c>
      <c r="J43" s="13" t="s">
        <v>341</v>
      </c>
      <c r="K43">
        <v>20</v>
      </c>
      <c r="L43" s="17" t="s">
        <v>362</v>
      </c>
    </row>
    <row r="44" spans="1:12" x14ac:dyDescent="0.3">
      <c r="A44" s="14" t="s">
        <v>164</v>
      </c>
      <c r="B44" s="14" t="s">
        <v>165</v>
      </c>
      <c r="C44" s="14" t="s">
        <v>166</v>
      </c>
      <c r="D44" s="14" t="s">
        <v>167</v>
      </c>
      <c r="E44" s="14" t="s">
        <v>164</v>
      </c>
      <c r="F44" s="15">
        <v>1</v>
      </c>
      <c r="G44" s="16">
        <v>142</v>
      </c>
      <c r="H44" s="16">
        <f t="shared" si="0"/>
        <v>142</v>
      </c>
      <c r="I44" s="16" t="s">
        <v>308</v>
      </c>
      <c r="J44" s="16" t="s">
        <v>342</v>
      </c>
    </row>
    <row r="45" spans="1:12" x14ac:dyDescent="0.3">
      <c r="A45" s="29" t="s">
        <v>168</v>
      </c>
      <c r="B45" s="29" t="s">
        <v>169</v>
      </c>
      <c r="C45" s="29" t="s">
        <v>170</v>
      </c>
      <c r="D45" s="29" t="s">
        <v>171</v>
      </c>
      <c r="E45" s="29" t="s">
        <v>168</v>
      </c>
      <c r="F45" s="30">
        <v>9</v>
      </c>
      <c r="G45" s="31">
        <v>3</v>
      </c>
      <c r="H45" s="31">
        <f t="shared" si="0"/>
        <v>27</v>
      </c>
      <c r="I45" s="31" t="s">
        <v>311</v>
      </c>
      <c r="J45" s="31"/>
    </row>
    <row r="46" spans="1:12" x14ac:dyDescent="0.3">
      <c r="A46" s="29" t="s">
        <v>172</v>
      </c>
      <c r="B46" s="29" t="s">
        <v>173</v>
      </c>
      <c r="C46" s="29" t="s">
        <v>174</v>
      </c>
      <c r="D46" s="29" t="s">
        <v>175</v>
      </c>
      <c r="E46" s="29" t="s">
        <v>176</v>
      </c>
      <c r="F46" s="30">
        <v>24</v>
      </c>
      <c r="G46" s="31">
        <v>0.5</v>
      </c>
      <c r="H46" s="31">
        <f t="shared" si="0"/>
        <v>12</v>
      </c>
      <c r="I46" s="31" t="s">
        <v>311</v>
      </c>
      <c r="J46" s="31"/>
    </row>
    <row r="47" spans="1:12" x14ac:dyDescent="0.3">
      <c r="A47" s="29" t="s">
        <v>359</v>
      </c>
      <c r="B47" s="29" t="s">
        <v>178</v>
      </c>
      <c r="C47" s="29" t="s">
        <v>179</v>
      </c>
      <c r="D47" s="29" t="s">
        <v>175</v>
      </c>
      <c r="E47" s="29" t="s">
        <v>180</v>
      </c>
      <c r="F47" s="30">
        <v>14</v>
      </c>
      <c r="G47" s="31">
        <v>0.5</v>
      </c>
      <c r="H47" s="31">
        <f t="shared" si="0"/>
        <v>7</v>
      </c>
      <c r="I47" s="31" t="s">
        <v>311</v>
      </c>
      <c r="J47" s="31"/>
    </row>
    <row r="48" spans="1:12" x14ac:dyDescent="0.3">
      <c r="A48" s="29" t="s">
        <v>181</v>
      </c>
      <c r="B48" s="29" t="s">
        <v>182</v>
      </c>
      <c r="C48" s="29" t="s">
        <v>183</v>
      </c>
      <c r="D48" s="29" t="s">
        <v>175</v>
      </c>
      <c r="E48" s="29" t="s">
        <v>184</v>
      </c>
      <c r="F48" s="30">
        <v>25</v>
      </c>
      <c r="G48" s="31">
        <v>0.5</v>
      </c>
      <c r="H48" s="31">
        <f t="shared" si="0"/>
        <v>12.5</v>
      </c>
      <c r="I48" s="31" t="s">
        <v>311</v>
      </c>
      <c r="J48" s="31"/>
    </row>
    <row r="49" spans="1:10" x14ac:dyDescent="0.3">
      <c r="A49" s="29" t="s">
        <v>185</v>
      </c>
      <c r="B49" s="29" t="s">
        <v>186</v>
      </c>
      <c r="C49" s="29" t="s">
        <v>187</v>
      </c>
      <c r="D49" s="29" t="s">
        <v>175</v>
      </c>
      <c r="E49" s="29" t="s">
        <v>188</v>
      </c>
      <c r="F49" s="30">
        <v>16</v>
      </c>
      <c r="G49" s="31">
        <v>0.5</v>
      </c>
      <c r="H49" s="31">
        <f t="shared" si="0"/>
        <v>8</v>
      </c>
      <c r="I49" s="31" t="s">
        <v>311</v>
      </c>
      <c r="J49" s="31"/>
    </row>
    <row r="50" spans="1:10" x14ac:dyDescent="0.3">
      <c r="A50" s="11" t="s">
        <v>189</v>
      </c>
      <c r="B50" s="11" t="s">
        <v>190</v>
      </c>
      <c r="C50" s="11" t="s">
        <v>191</v>
      </c>
      <c r="D50" s="11" t="s">
        <v>175</v>
      </c>
      <c r="E50" s="11" t="s">
        <v>192</v>
      </c>
      <c r="F50" s="12">
        <v>1</v>
      </c>
      <c r="G50" s="13">
        <v>0.5</v>
      </c>
      <c r="H50" s="13">
        <f t="shared" si="0"/>
        <v>0.5</v>
      </c>
      <c r="I50" s="13" t="s">
        <v>311</v>
      </c>
      <c r="J50" s="13"/>
    </row>
    <row r="51" spans="1:10" x14ac:dyDescent="0.3">
      <c r="A51" s="11" t="s">
        <v>193</v>
      </c>
      <c r="B51" s="11" t="s">
        <v>194</v>
      </c>
      <c r="C51" s="11" t="s">
        <v>195</v>
      </c>
      <c r="D51" s="11" t="s">
        <v>175</v>
      </c>
      <c r="E51" s="11" t="s">
        <v>196</v>
      </c>
      <c r="F51" s="12">
        <v>4</v>
      </c>
      <c r="G51" s="13">
        <v>0.5</v>
      </c>
      <c r="H51" s="13">
        <f t="shared" si="0"/>
        <v>2</v>
      </c>
      <c r="I51" s="13" t="s">
        <v>311</v>
      </c>
      <c r="J51" s="13"/>
    </row>
    <row r="52" spans="1:10" x14ac:dyDescent="0.3">
      <c r="A52" s="11" t="s">
        <v>177</v>
      </c>
      <c r="B52" s="11" t="s">
        <v>197</v>
      </c>
      <c r="C52" s="11" t="s">
        <v>198</v>
      </c>
      <c r="D52" s="11" t="s">
        <v>175</v>
      </c>
      <c r="E52" s="11" t="s">
        <v>199</v>
      </c>
      <c r="F52" s="12">
        <v>1</v>
      </c>
      <c r="G52" s="13">
        <v>0.5</v>
      </c>
      <c r="H52" s="13">
        <f t="shared" si="0"/>
        <v>0.5</v>
      </c>
      <c r="I52" s="13" t="s">
        <v>311</v>
      </c>
      <c r="J52" s="13"/>
    </row>
    <row r="53" spans="1:10" x14ac:dyDescent="0.3">
      <c r="A53" s="14" t="s">
        <v>200</v>
      </c>
      <c r="B53" s="14" t="s">
        <v>201</v>
      </c>
      <c r="C53" s="14" t="s">
        <v>202</v>
      </c>
      <c r="D53" s="14" t="s">
        <v>175</v>
      </c>
      <c r="E53" s="14" t="s">
        <v>203</v>
      </c>
      <c r="F53" s="15">
        <v>1</v>
      </c>
      <c r="G53" s="16">
        <v>0.5</v>
      </c>
      <c r="H53" s="16">
        <f t="shared" si="0"/>
        <v>0.5</v>
      </c>
      <c r="I53" s="16" t="s">
        <v>311</v>
      </c>
      <c r="J53" s="16" t="s">
        <v>360</v>
      </c>
    </row>
    <row r="54" spans="1:10" x14ac:dyDescent="0.3">
      <c r="A54" s="29" t="s">
        <v>181</v>
      </c>
      <c r="B54" s="29" t="s">
        <v>204</v>
      </c>
      <c r="C54" s="29" t="s">
        <v>205</v>
      </c>
      <c r="D54" s="29" t="s">
        <v>206</v>
      </c>
      <c r="E54" s="29" t="s">
        <v>207</v>
      </c>
      <c r="F54" s="30">
        <v>2</v>
      </c>
      <c r="G54" s="31">
        <v>0.5</v>
      </c>
      <c r="H54" s="31">
        <f t="shared" si="0"/>
        <v>1</v>
      </c>
      <c r="I54" s="31" t="s">
        <v>311</v>
      </c>
      <c r="J54" s="31"/>
    </row>
    <row r="55" spans="1:10" x14ac:dyDescent="0.3">
      <c r="A55" s="2" t="s">
        <v>208</v>
      </c>
      <c r="B55" s="2" t="s">
        <v>209</v>
      </c>
      <c r="C55" s="2" t="s">
        <v>210</v>
      </c>
      <c r="D55" s="2" t="s">
        <v>175</v>
      </c>
      <c r="E55" s="2" t="s">
        <v>211</v>
      </c>
      <c r="F55" s="1">
        <v>1</v>
      </c>
      <c r="G55">
        <v>0.5</v>
      </c>
      <c r="H55">
        <f t="shared" si="0"/>
        <v>0.5</v>
      </c>
      <c r="I55" t="s">
        <v>311</v>
      </c>
    </row>
    <row r="56" spans="1:10" x14ac:dyDescent="0.3">
      <c r="A56" s="2" t="s">
        <v>212</v>
      </c>
      <c r="B56" s="2" t="s">
        <v>213</v>
      </c>
      <c r="C56" s="2" t="s">
        <v>214</v>
      </c>
      <c r="D56" s="2" t="s">
        <v>175</v>
      </c>
      <c r="E56" s="2" t="s">
        <v>215</v>
      </c>
      <c r="F56" s="1">
        <v>1</v>
      </c>
      <c r="G56">
        <v>0.5</v>
      </c>
      <c r="H56">
        <f t="shared" si="0"/>
        <v>0.5</v>
      </c>
      <c r="I56" t="s">
        <v>311</v>
      </c>
    </row>
    <row r="57" spans="1:10" x14ac:dyDescent="0.3">
      <c r="A57" s="2" t="s">
        <v>216</v>
      </c>
      <c r="B57" s="2" t="s">
        <v>217</v>
      </c>
      <c r="C57" s="2" t="s">
        <v>218</v>
      </c>
      <c r="D57" s="2" t="s">
        <v>175</v>
      </c>
      <c r="E57" s="2" t="s">
        <v>219</v>
      </c>
      <c r="F57" s="1">
        <v>1</v>
      </c>
      <c r="G57">
        <v>0.5</v>
      </c>
      <c r="H57">
        <f t="shared" si="0"/>
        <v>0.5</v>
      </c>
      <c r="I57" t="s">
        <v>311</v>
      </c>
    </row>
    <row r="58" spans="1:10" x14ac:dyDescent="0.3">
      <c r="A58" s="29" t="s">
        <v>185</v>
      </c>
      <c r="B58" s="29" t="s">
        <v>220</v>
      </c>
      <c r="C58" s="29" t="s">
        <v>221</v>
      </c>
      <c r="D58" s="29" t="s">
        <v>206</v>
      </c>
      <c r="E58" s="29" t="s">
        <v>222</v>
      </c>
      <c r="F58" s="30">
        <v>1</v>
      </c>
      <c r="G58" s="31">
        <v>0.5</v>
      </c>
      <c r="H58" s="31">
        <f t="shared" si="0"/>
        <v>0.5</v>
      </c>
      <c r="I58" s="31" t="s">
        <v>311</v>
      </c>
      <c r="J58" s="31"/>
    </row>
    <row r="59" spans="1:10" x14ac:dyDescent="0.3">
      <c r="A59" s="2" t="s">
        <v>223</v>
      </c>
      <c r="B59" s="2" t="s">
        <v>224</v>
      </c>
      <c r="C59" s="2" t="s">
        <v>225</v>
      </c>
      <c r="D59" s="2" t="s">
        <v>206</v>
      </c>
      <c r="E59" s="2" t="s">
        <v>226</v>
      </c>
      <c r="F59" s="1">
        <v>2</v>
      </c>
      <c r="G59">
        <v>0.5</v>
      </c>
      <c r="H59">
        <f t="shared" si="0"/>
        <v>1</v>
      </c>
      <c r="I59" t="s">
        <v>311</v>
      </c>
    </row>
    <row r="60" spans="1:10" x14ac:dyDescent="0.3">
      <c r="A60" s="29" t="s">
        <v>359</v>
      </c>
      <c r="B60" s="29" t="s">
        <v>227</v>
      </c>
      <c r="C60" s="29" t="s">
        <v>228</v>
      </c>
      <c r="D60" s="29" t="s">
        <v>175</v>
      </c>
      <c r="E60" s="29" t="s">
        <v>229</v>
      </c>
      <c r="F60" s="30">
        <v>3</v>
      </c>
      <c r="G60" s="31">
        <v>0.5</v>
      </c>
      <c r="H60" s="31">
        <f t="shared" si="0"/>
        <v>1.5</v>
      </c>
      <c r="I60" s="31" t="s">
        <v>311</v>
      </c>
      <c r="J60" s="31"/>
    </row>
    <row r="61" spans="1:10" x14ac:dyDescent="0.3">
      <c r="A61" s="14" t="s">
        <v>230</v>
      </c>
      <c r="B61" s="14" t="s">
        <v>231</v>
      </c>
      <c r="C61" s="14" t="s">
        <v>232</v>
      </c>
      <c r="D61" s="14" t="s">
        <v>175</v>
      </c>
      <c r="E61" s="14" t="s">
        <v>233</v>
      </c>
      <c r="F61" s="15">
        <v>2</v>
      </c>
      <c r="G61" s="16">
        <v>0.5</v>
      </c>
      <c r="H61" s="16">
        <f t="shared" si="0"/>
        <v>1</v>
      </c>
      <c r="I61" s="16" t="s">
        <v>308</v>
      </c>
      <c r="J61" s="16" t="s">
        <v>361</v>
      </c>
    </row>
    <row r="62" spans="1:10" x14ac:dyDescent="0.3">
      <c r="A62" s="32" t="s">
        <v>234</v>
      </c>
      <c r="B62" s="32" t="s">
        <v>235</v>
      </c>
      <c r="C62" s="32" t="s">
        <v>236</v>
      </c>
      <c r="D62" s="32" t="s">
        <v>237</v>
      </c>
      <c r="E62" s="32" t="s">
        <v>234</v>
      </c>
      <c r="F62" s="33">
        <v>3</v>
      </c>
      <c r="G62" s="34">
        <v>165</v>
      </c>
      <c r="H62" s="34">
        <f t="shared" si="0"/>
        <v>495</v>
      </c>
      <c r="I62" s="34" t="s">
        <v>308</v>
      </c>
      <c r="J62" s="34"/>
    </row>
    <row r="63" spans="1:10" x14ac:dyDescent="0.3">
      <c r="A63" s="14" t="s">
        <v>238</v>
      </c>
      <c r="B63" s="14" t="s">
        <v>239</v>
      </c>
      <c r="C63" s="14" t="s">
        <v>240</v>
      </c>
      <c r="D63" s="14" t="s">
        <v>241</v>
      </c>
      <c r="E63" s="14" t="s">
        <v>238</v>
      </c>
      <c r="F63" s="15">
        <v>1</v>
      </c>
      <c r="G63" s="16">
        <v>6.5</v>
      </c>
      <c r="H63" s="16">
        <f t="shared" si="0"/>
        <v>6.5</v>
      </c>
      <c r="I63" s="16" t="s">
        <v>308</v>
      </c>
      <c r="J63" s="16" t="s">
        <v>358</v>
      </c>
    </row>
    <row r="64" spans="1:10" x14ac:dyDescent="0.3">
      <c r="A64" s="14" t="s">
        <v>242</v>
      </c>
      <c r="B64" s="15"/>
      <c r="C64" s="14" t="s">
        <v>243</v>
      </c>
      <c r="D64" s="14" t="s">
        <v>244</v>
      </c>
      <c r="E64" s="14" t="s">
        <v>242</v>
      </c>
      <c r="F64" s="15">
        <v>1</v>
      </c>
      <c r="G64" s="16">
        <v>10</v>
      </c>
      <c r="H64" s="16">
        <f t="shared" si="0"/>
        <v>10</v>
      </c>
      <c r="I64" s="16" t="s">
        <v>308</v>
      </c>
      <c r="J64" s="21" t="s">
        <v>357</v>
      </c>
    </row>
    <row r="65" spans="1:11" x14ac:dyDescent="0.3">
      <c r="A65" s="24" t="s">
        <v>245</v>
      </c>
      <c r="B65" s="24" t="s">
        <v>246</v>
      </c>
      <c r="C65" s="24" t="s">
        <v>247</v>
      </c>
      <c r="D65" s="24" t="s">
        <v>248</v>
      </c>
      <c r="E65" s="24" t="s">
        <v>245</v>
      </c>
      <c r="F65" s="25">
        <v>1</v>
      </c>
      <c r="G65" s="26">
        <v>769.81</v>
      </c>
      <c r="H65" s="26">
        <f t="shared" si="0"/>
        <v>769.81</v>
      </c>
      <c r="I65" s="26" t="s">
        <v>309</v>
      </c>
      <c r="J65" s="26"/>
    </row>
    <row r="66" spans="1:11" x14ac:dyDescent="0.3">
      <c r="A66" s="8" t="s">
        <v>249</v>
      </c>
      <c r="B66" s="8" t="s">
        <v>250</v>
      </c>
      <c r="C66" s="8" t="s">
        <v>251</v>
      </c>
      <c r="D66" s="8" t="s">
        <v>252</v>
      </c>
      <c r="E66" s="8" t="s">
        <v>249</v>
      </c>
      <c r="F66" s="9">
        <v>1</v>
      </c>
      <c r="G66" s="10">
        <v>219</v>
      </c>
      <c r="H66" s="10">
        <f t="shared" si="0"/>
        <v>219</v>
      </c>
      <c r="I66" s="10" t="s">
        <v>310</v>
      </c>
      <c r="J66" s="10">
        <v>766308</v>
      </c>
      <c r="K66" s="35">
        <v>2</v>
      </c>
    </row>
    <row r="67" spans="1:11" x14ac:dyDescent="0.3">
      <c r="A67" s="14" t="s">
        <v>253</v>
      </c>
      <c r="B67" s="14" t="s">
        <v>254</v>
      </c>
      <c r="C67" s="14" t="s">
        <v>255</v>
      </c>
      <c r="D67" s="14" t="s">
        <v>256</v>
      </c>
      <c r="E67" s="14" t="s">
        <v>253</v>
      </c>
      <c r="F67" s="15">
        <v>3</v>
      </c>
      <c r="G67" s="16">
        <v>55.96</v>
      </c>
      <c r="H67" s="16">
        <f t="shared" si="0"/>
        <v>167.88</v>
      </c>
      <c r="I67" s="16" t="s">
        <v>308</v>
      </c>
      <c r="J67" s="16" t="s">
        <v>356</v>
      </c>
    </row>
    <row r="68" spans="1:11" x14ac:dyDescent="0.3">
      <c r="A68" s="14" t="s">
        <v>257</v>
      </c>
      <c r="B68" s="14" t="s">
        <v>258</v>
      </c>
      <c r="C68" s="14" t="s">
        <v>259</v>
      </c>
      <c r="D68" s="14" t="s">
        <v>260</v>
      </c>
      <c r="E68" s="14" t="s">
        <v>257</v>
      </c>
      <c r="F68" s="15">
        <v>1</v>
      </c>
      <c r="G68" s="16">
        <v>20</v>
      </c>
      <c r="H68" s="16">
        <f t="shared" ref="H68:H81" si="1">SUM(F68*G68)</f>
        <v>20</v>
      </c>
      <c r="I68" s="16" t="s">
        <v>308</v>
      </c>
      <c r="J68" s="16" t="s">
        <v>355</v>
      </c>
    </row>
    <row r="69" spans="1:11" x14ac:dyDescent="0.3">
      <c r="A69" s="14" t="s">
        <v>261</v>
      </c>
      <c r="B69" s="14" t="s">
        <v>262</v>
      </c>
      <c r="C69" s="14" t="s">
        <v>263</v>
      </c>
      <c r="D69" s="14" t="s">
        <v>264</v>
      </c>
      <c r="E69" s="14" t="s">
        <v>261</v>
      </c>
      <c r="F69" s="15">
        <v>1</v>
      </c>
      <c r="G69" s="16">
        <v>125</v>
      </c>
      <c r="H69" s="16">
        <f t="shared" si="1"/>
        <v>125</v>
      </c>
      <c r="I69" s="16" t="s">
        <v>308</v>
      </c>
      <c r="J69" s="16" t="s">
        <v>354</v>
      </c>
    </row>
    <row r="70" spans="1:11" x14ac:dyDescent="0.3">
      <c r="A70" s="14" t="s">
        <v>265</v>
      </c>
      <c r="B70" s="14" t="s">
        <v>266</v>
      </c>
      <c r="C70" s="14" t="s">
        <v>267</v>
      </c>
      <c r="D70" s="14" t="s">
        <v>256</v>
      </c>
      <c r="E70" s="14" t="s">
        <v>265</v>
      </c>
      <c r="F70" s="15">
        <v>1</v>
      </c>
      <c r="G70" s="16">
        <v>25.52</v>
      </c>
      <c r="H70" s="16">
        <f t="shared" si="1"/>
        <v>25.52</v>
      </c>
      <c r="I70" s="16" t="s">
        <v>308</v>
      </c>
      <c r="J70" s="16" t="s">
        <v>353</v>
      </c>
    </row>
    <row r="71" spans="1:11" x14ac:dyDescent="0.3">
      <c r="A71" s="14" t="s">
        <v>268</v>
      </c>
      <c r="B71" s="14" t="s">
        <v>269</v>
      </c>
      <c r="C71" s="14" t="s">
        <v>270</v>
      </c>
      <c r="D71" s="14" t="s">
        <v>271</v>
      </c>
      <c r="E71" s="14" t="s">
        <v>268</v>
      </c>
      <c r="F71" s="15">
        <v>1</v>
      </c>
      <c r="G71" s="16">
        <v>168.25</v>
      </c>
      <c r="H71" s="16">
        <f t="shared" si="1"/>
        <v>168.25</v>
      </c>
      <c r="I71" s="16" t="s">
        <v>308</v>
      </c>
      <c r="J71" s="16" t="s">
        <v>352</v>
      </c>
    </row>
    <row r="72" spans="1:11" x14ac:dyDescent="0.3">
      <c r="A72" s="24" t="s">
        <v>272</v>
      </c>
      <c r="B72" s="24" t="s">
        <v>273</v>
      </c>
      <c r="C72" s="24" t="s">
        <v>274</v>
      </c>
      <c r="D72" s="24" t="s">
        <v>264</v>
      </c>
      <c r="E72" s="24" t="s">
        <v>272</v>
      </c>
      <c r="F72" s="25">
        <v>1</v>
      </c>
      <c r="G72" s="26">
        <v>75</v>
      </c>
      <c r="H72" s="26">
        <f t="shared" si="1"/>
        <v>75</v>
      </c>
      <c r="I72" s="26" t="s">
        <v>309</v>
      </c>
      <c r="J72" s="26"/>
    </row>
    <row r="73" spans="1:11" x14ac:dyDescent="0.3">
      <c r="A73" s="24" t="s">
        <v>275</v>
      </c>
      <c r="B73" s="24" t="s">
        <v>276</v>
      </c>
      <c r="C73" s="24" t="s">
        <v>277</v>
      </c>
      <c r="D73" s="24" t="s">
        <v>264</v>
      </c>
      <c r="E73" s="24" t="s">
        <v>275</v>
      </c>
      <c r="F73" s="25">
        <v>1</v>
      </c>
      <c r="G73" s="26">
        <v>33</v>
      </c>
      <c r="H73" s="26">
        <f t="shared" si="1"/>
        <v>33</v>
      </c>
      <c r="I73" s="26" t="s">
        <v>309</v>
      </c>
      <c r="J73" s="26"/>
    </row>
    <row r="74" spans="1:11" x14ac:dyDescent="0.3">
      <c r="A74" s="11" t="s">
        <v>278</v>
      </c>
      <c r="B74" s="11" t="s">
        <v>279</v>
      </c>
      <c r="C74" s="11" t="s">
        <v>280</v>
      </c>
      <c r="D74" s="11" t="s">
        <v>281</v>
      </c>
      <c r="E74" s="11" t="s">
        <v>278</v>
      </c>
      <c r="F74" s="12">
        <v>1</v>
      </c>
      <c r="G74" s="13">
        <v>197</v>
      </c>
      <c r="H74" s="13">
        <f t="shared" si="1"/>
        <v>197</v>
      </c>
      <c r="I74" s="13" t="s">
        <v>308</v>
      </c>
      <c r="J74" s="13" t="s">
        <v>351</v>
      </c>
    </row>
    <row r="75" spans="1:11" x14ac:dyDescent="0.3">
      <c r="A75" s="8" t="s">
        <v>282</v>
      </c>
      <c r="B75" s="8" t="s">
        <v>283</v>
      </c>
      <c r="C75" s="8" t="s">
        <v>301</v>
      </c>
      <c r="D75" s="8" t="s">
        <v>284</v>
      </c>
      <c r="E75" s="8" t="s">
        <v>282</v>
      </c>
      <c r="F75" s="9">
        <v>1</v>
      </c>
      <c r="G75" s="10">
        <v>82</v>
      </c>
      <c r="H75" s="10">
        <f t="shared" si="1"/>
        <v>82</v>
      </c>
      <c r="I75" s="10" t="s">
        <v>310</v>
      </c>
      <c r="J75" s="22" t="s">
        <v>345</v>
      </c>
      <c r="K75">
        <v>15</v>
      </c>
    </row>
    <row r="76" spans="1:11" x14ac:dyDescent="0.3">
      <c r="A76" s="24" t="s">
        <v>285</v>
      </c>
      <c r="B76" s="24" t="s">
        <v>286</v>
      </c>
      <c r="C76" s="24" t="s">
        <v>287</v>
      </c>
      <c r="D76" s="24" t="s">
        <v>288</v>
      </c>
      <c r="E76" s="24" t="s">
        <v>285</v>
      </c>
      <c r="F76" s="25">
        <v>1</v>
      </c>
      <c r="G76" s="26">
        <v>70.53</v>
      </c>
      <c r="H76" s="26">
        <f t="shared" si="1"/>
        <v>70.53</v>
      </c>
      <c r="I76" s="26" t="s">
        <v>309</v>
      </c>
      <c r="J76" s="26"/>
    </row>
    <row r="77" spans="1:11" x14ac:dyDescent="0.3">
      <c r="A77" s="14" t="s">
        <v>289</v>
      </c>
      <c r="B77" s="14" t="s">
        <v>290</v>
      </c>
      <c r="C77" s="14" t="s">
        <v>291</v>
      </c>
      <c r="D77" s="14" t="s">
        <v>292</v>
      </c>
      <c r="E77" s="14" t="s">
        <v>289</v>
      </c>
      <c r="F77" s="15">
        <v>1</v>
      </c>
      <c r="G77" s="16">
        <v>8</v>
      </c>
      <c r="H77" s="16">
        <f t="shared" si="1"/>
        <v>8</v>
      </c>
      <c r="I77" s="16" t="s">
        <v>311</v>
      </c>
      <c r="J77" s="21" t="s">
        <v>349</v>
      </c>
      <c r="K77" t="s">
        <v>350</v>
      </c>
    </row>
    <row r="78" spans="1:11" x14ac:dyDescent="0.3">
      <c r="A78" s="8" t="s">
        <v>293</v>
      </c>
      <c r="B78" s="8" t="s">
        <v>294</v>
      </c>
      <c r="C78" s="8" t="s">
        <v>346</v>
      </c>
      <c r="D78" s="8" t="s">
        <v>296</v>
      </c>
      <c r="E78" s="8" t="s">
        <v>293</v>
      </c>
      <c r="F78" s="9">
        <v>1</v>
      </c>
      <c r="G78" s="10">
        <v>10</v>
      </c>
      <c r="H78" s="10">
        <f t="shared" si="1"/>
        <v>10</v>
      </c>
      <c r="I78" s="10" t="s">
        <v>311</v>
      </c>
      <c r="J78" s="10">
        <v>1486823</v>
      </c>
      <c r="K78" s="35">
        <v>5</v>
      </c>
    </row>
    <row r="79" spans="1:11" x14ac:dyDescent="0.3">
      <c r="A79" s="14" t="s">
        <v>303</v>
      </c>
      <c r="B79" s="14" t="s">
        <v>304</v>
      </c>
      <c r="C79" s="14" t="s">
        <v>295</v>
      </c>
      <c r="D79" s="14" t="s">
        <v>297</v>
      </c>
      <c r="E79" s="14" t="s">
        <v>305</v>
      </c>
      <c r="F79" s="15">
        <v>1</v>
      </c>
      <c r="G79" s="16">
        <v>20</v>
      </c>
      <c r="H79" s="16">
        <f t="shared" si="1"/>
        <v>20</v>
      </c>
      <c r="I79" s="16" t="s">
        <v>308</v>
      </c>
      <c r="J79" s="16" t="s">
        <v>348</v>
      </c>
    </row>
    <row r="80" spans="1:11" x14ac:dyDescent="0.3">
      <c r="A80" s="8" t="s">
        <v>300</v>
      </c>
      <c r="B80" s="8" t="s">
        <v>283</v>
      </c>
      <c r="C80" s="8" t="s">
        <v>302</v>
      </c>
      <c r="D80" s="8" t="s">
        <v>284</v>
      </c>
      <c r="E80" s="8" t="s">
        <v>343</v>
      </c>
      <c r="F80" s="27">
        <v>1</v>
      </c>
      <c r="G80" s="10">
        <v>82</v>
      </c>
      <c r="H80" s="10">
        <f t="shared" si="1"/>
        <v>82</v>
      </c>
      <c r="I80" s="10" t="s">
        <v>310</v>
      </c>
      <c r="J80" s="22" t="s">
        <v>344</v>
      </c>
      <c r="K80">
        <v>5</v>
      </c>
    </row>
    <row r="81" spans="1:11" x14ac:dyDescent="0.3">
      <c r="A81" s="8" t="s">
        <v>305</v>
      </c>
      <c r="B81" s="8" t="s">
        <v>306</v>
      </c>
      <c r="C81" s="8" t="s">
        <v>347</v>
      </c>
      <c r="D81" s="8" t="s">
        <v>297</v>
      </c>
      <c r="E81" s="8" t="s">
        <v>305</v>
      </c>
      <c r="F81" s="9">
        <v>1</v>
      </c>
      <c r="G81" s="10">
        <v>10</v>
      </c>
      <c r="H81" s="10">
        <f t="shared" si="1"/>
        <v>10</v>
      </c>
      <c r="I81" s="10" t="s">
        <v>310</v>
      </c>
      <c r="J81" s="10">
        <v>1142182</v>
      </c>
      <c r="K81" s="35">
        <v>5</v>
      </c>
    </row>
    <row r="85" spans="1:11" x14ac:dyDescent="0.3">
      <c r="H85" s="7">
        <f>SUM(H3:H81)</f>
        <v>4539.66</v>
      </c>
    </row>
    <row r="86" spans="1:11" x14ac:dyDescent="0.3">
      <c r="F86" t="s">
        <v>312</v>
      </c>
      <c r="H86">
        <f>SUM(H85*5)</f>
        <v>22698.3</v>
      </c>
    </row>
    <row r="87" spans="1:11" ht="15.6" x14ac:dyDescent="0.3">
      <c r="F87" t="s">
        <v>313</v>
      </c>
      <c r="H87" s="5">
        <f>SUM(H86+3000)</f>
        <v>25698.3</v>
      </c>
    </row>
    <row r="88" spans="1:11" ht="21" x14ac:dyDescent="0.4">
      <c r="F88" t="s">
        <v>314</v>
      </c>
      <c r="H88" s="6">
        <f>SUM(H87+H87*0.18)</f>
        <v>30323.993999999999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Ticket_Dispancer</vt:lpstr>
      <vt:lpstr>Ticket_Dispancer!Print_Titles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kushwah</dc:creator>
  <cp:lastModifiedBy>Vijay kushwah</cp:lastModifiedBy>
  <dcterms:created xsi:type="dcterms:W3CDTF">2026-04-07T05:29:52Z</dcterms:created>
  <dcterms:modified xsi:type="dcterms:W3CDTF">2026-04-13T04:33:44Z</dcterms:modified>
</cp:coreProperties>
</file>